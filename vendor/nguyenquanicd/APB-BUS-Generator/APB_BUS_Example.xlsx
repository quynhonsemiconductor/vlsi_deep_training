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ink/Downloads/"/>
    </mc:Choice>
  </mc:AlternateContent>
  <xr:revisionPtr revIDLastSave="0" documentId="13_ncr:1_{C6B6E653-24EF-C34B-BB29-34409501CC4C}" xr6:coauthVersionLast="47" xr6:coauthVersionMax="47" xr10:uidLastSave="{00000000-0000-0000-0000-000000000000}"/>
  <bookViews>
    <workbookView xWindow="2720" yWindow="2280" windowWidth="36700" windowHeight="23900" activeTab="2" xr2:uid="{FE1CB42A-3921-F749-B0F0-26DE12D23731}"/>
  </bookViews>
  <sheets>
    <sheet name="CFG" sheetId="2" r:id="rId1"/>
    <sheet name="MM-CFG" sheetId="3" r:id="rId2"/>
    <sheet name="MM-INF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 a="1"/>
  <c r="A3" i="4" s="1"/>
  <c r="D16" i="2"/>
  <c r="A3" i="3" a="1"/>
  <c r="A3" i="3" s="1"/>
  <c r="D13" i="2"/>
  <c r="D12" i="2"/>
  <c r="D11" i="2"/>
  <c r="D26" i="2"/>
  <c r="B2" i="4" a="1"/>
  <c r="B2" i="3" a="1"/>
  <c r="B2" i="3" s="1"/>
  <c r="D24" i="2"/>
  <c r="D25" i="2"/>
  <c r="D22" i="2"/>
  <c r="D23" i="2"/>
  <c r="D21" i="2"/>
  <c r="D15" i="2"/>
  <c r="D14" i="2"/>
  <c r="B2" i="4" l="1"/>
  <c r="B3" i="4" l="1" a="1"/>
  <c r="B3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<sst xmlns="http://schemas.openxmlformats.org/spreadsheetml/2006/main" count="57" uniqueCount="44">
  <si>
    <t>Config</t>
  </si>
  <si>
    <t>Value</t>
  </si>
  <si>
    <t>Description</t>
  </si>
  <si>
    <t>Module Name</t>
  </si>
  <si>
    <t>m_vlsit_apbdec</t>
  </si>
  <si>
    <t>Data Width</t>
  </si>
  <si>
    <t>Write Strobe</t>
  </si>
  <si>
    <t>NAME</t>
  </si>
  <si>
    <t>ADDRESS WIDTH</t>
  </si>
  <si>
    <t>SIZE</t>
  </si>
  <si>
    <t>DESCRIPTION</t>
  </si>
  <si>
    <t>UART</t>
  </si>
  <si>
    <t>I2C</t>
  </si>
  <si>
    <t>NO.</t>
  </si>
  <si>
    <t>SPI</t>
  </si>
  <si>
    <t>0x1000</t>
  </si>
  <si>
    <t>PSLVERR on Unmapped Access</t>
  </si>
  <si>
    <t>CAN</t>
  </si>
  <si>
    <t>0x2000</t>
  </si>
  <si>
    <t>Name of the generated Verilog RTL module.</t>
  </si>
  <si>
    <t>Bit-width of the APB data bus.
Fixed at 32-bit.</t>
  </si>
  <si>
    <t>Number of byte-enable lanes (PSTRB).
Fixed at 4 for 32-bit data.</t>
  </si>
  <si>
    <t>Logic level returned on PSLVERR when accessing an unmapped address range
(0: OKAY, 1: ERROR).</t>
  </si>
  <si>
    <t>Address width required by the slave peripheral</t>
  </si>
  <si>
    <t>Total mapped space for the slave
(auto-calculated)</t>
  </si>
  <si>
    <t>PWM</t>
  </si>
  <si>
    <t>Table - Master Information</t>
  </si>
  <si>
    <t>CPU0</t>
  </si>
  <si>
    <t>CPU1</t>
  </si>
  <si>
    <t>GPU</t>
  </si>
  <si>
    <t>Address width of the master</t>
  </si>
  <si>
    <t>Slave / Master</t>
  </si>
  <si>
    <t>0x0</t>
  </si>
  <si>
    <t>Table - Memory Map Configuration</t>
  </si>
  <si>
    <t>Table - Memory Map Information</t>
  </si>
  <si>
    <t>Table - Global Configuration</t>
  </si>
  <si>
    <t>0x4000</t>
  </si>
  <si>
    <t>PCIe</t>
  </si>
  <si>
    <t>0x10000</t>
  </si>
  <si>
    <t>0x5000</t>
  </si>
  <si>
    <t>Table - Slave Information</t>
  </si>
  <si>
    <t>NPU</t>
  </si>
  <si>
    <t>TPU</t>
  </si>
  <si>
    <t>PPU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</si>
</sst>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2" fillId="0" borderId="7" xfId="0" applyFont="1" applyFill="1" applyBorder="1" applyAlignment="1">
      <alignment vertical="center"/>
    </xf>
    <xf numFmtId="0" fontId="4" fillId="0" borderId="0" xfId="0" applyFont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FF48-8ECE-A04E-8ECE-6CE6AAA274F0}">
  <sheetPr codeName="Sheet1"/>
  <dimension ref="A1:E26"/>
  <sheetViews>
    <sheetView topLeftCell="A14" zoomScale="144" workbookViewId="0">
      <selection activeCell="A14" sqref="A14:E101"/>
    </sheetView>
  </sheetViews>
  <sheetFormatPr baseColWidth="10" defaultRowHeight="16" x14ac:dyDescent="0.2"/>
  <cols>
    <col min="1" max="1" width="12.6640625" customWidth="1"/>
    <col min="2" max="2" width="13.6640625" bestFit="1" customWidth="1"/>
    <col min="3" max="3" width="34.5" customWidth="1"/>
    <col min="4" max="4" width="27.33203125" customWidth="1"/>
    <col min="5" max="5" width="20.33203125" customWidth="1"/>
    <col min="9" max="9" width="20.6640625" customWidth="1"/>
    <col min="10" max="10" width="27.6640625" customWidth="1"/>
    <col min="11" max="11" width="14.1640625" customWidth="1"/>
  </cols>
  <sheetData>
    <row r="1" spans="1:5" x14ac:dyDescent="0.2">
      <c r="A1" s="12" t="s">
        <v>35</v>
      </c>
      <c r="B1" s="12"/>
      <c r="C1" s="12"/>
    </row>
    <row r="2" spans="1:5" x14ac:dyDescent="0.2">
      <c r="A2" s="1" t="s">
        <v>0</v>
      </c>
      <c r="B2" s="2" t="s">
        <v>1</v>
      </c>
      <c r="C2" s="2" t="s">
        <v>2</v>
      </c>
    </row>
    <row r="3" spans="1:5" x14ac:dyDescent="0.2">
      <c r="A3" s="3" t="s">
        <v>3</v>
      </c>
      <c r="B3" s="4" t="s">
        <v>4</v>
      </c>
      <c r="C3" s="5" t="s">
        <v>19</v>
      </c>
    </row>
    <row r="4" spans="1:5" ht="34" x14ac:dyDescent="0.2">
      <c r="A4" s="3" t="s">
        <v>5</v>
      </c>
      <c r="B4" s="4">
        <v>32</v>
      </c>
      <c r="C4" s="6" t="s">
        <v>20</v>
      </c>
    </row>
    <row r="5" spans="1:5" ht="34" x14ac:dyDescent="0.2">
      <c r="A5" s="3" t="s">
        <v>6</v>
      </c>
      <c r="B5" s="4">
        <v>4</v>
      </c>
      <c r="C5" s="6" t="s">
        <v>21</v>
      </c>
    </row>
    <row r="6" spans="1:5" ht="51" x14ac:dyDescent="0.2">
      <c r="A6" s="8" t="s">
        <v>16</v>
      </c>
      <c r="B6" s="7">
        <v>1</v>
      </c>
      <c r="C6" s="8" t="s">
        <v>22</v>
      </c>
    </row>
    <row r="8" spans="1:5" x14ac:dyDescent="0.2">
      <c r="A8" s="12" t="s">
        <v>26</v>
      </c>
      <c r="B8" s="12"/>
      <c r="C8" s="12"/>
      <c r="D8" s="12"/>
      <c r="E8" s="12"/>
    </row>
    <row r="9" spans="1:5" x14ac:dyDescent="0.2">
      <c r="A9" s="1" t="s">
        <v>13</v>
      </c>
      <c r="B9" s="1" t="s">
        <v>7</v>
      </c>
      <c r="C9" s="2" t="s">
        <v>8</v>
      </c>
      <c r="D9" s="2" t="s">
        <v>9</v>
      </c>
      <c r="E9" s="2" t="s">
        <v>10</v>
      </c>
    </row>
    <row r="10" spans="1:5" ht="32" x14ac:dyDescent="0.2">
      <c r="A10" s="9"/>
      <c r="B10" s="9"/>
      <c r="C10" s="11" t="s">
        <v>30</v>
      </c>
      <c r="D10" s="11" t="s">
        <v>24</v>
      </c>
      <c r="E10" s="10"/>
    </row>
    <row r="11" spans="1:5" x14ac:dyDescent="0.2">
      <c r="A11" s="3">
        <v>1</v>
      </c>
      <c r="B11" s="3" t="s">
        <v>27</v>
      </c>
      <c r="C11" s="5">
        <v>24</v>
      </c>
      <c r="D11" s="5" t="str">
        <f>IF(C11&lt;10, 2^C11 &amp; " B",
 IF(C11&lt;20, (2^C11)/1024 &amp; " KB",
 IF(C11&lt;30, (2^C11)/(1024^2) &amp; " MB",
 IF(C11&lt;40, (2^C11)/(1024^3) &amp; " GB",
 (2^C11)/(1024^4) &amp; " TB"))))</f>
        <v>16 MB</v>
      </c>
      <c r="E11" s="5"/>
    </row>
    <row r="12" spans="1:5" x14ac:dyDescent="0.2">
      <c r="A12" s="3">
        <v>2</v>
      </c>
      <c r="B12" s="3" t="s">
        <v>28</v>
      </c>
      <c r="C12" s="5">
        <v>16</v>
      </c>
      <c r="D12" s="5" t="str">
        <f>IF(C12&lt;10, 2^C12 &amp; " B",
 IF(C12&lt;20, (2^C12)/1024 &amp; " KB",
 IF(C12&lt;30, (2^C12)/(1024^2) &amp; " MB",
 IF(C12&lt;40, (2^C12)/(1024^3) &amp; " GB",
 (2^C12)/(1024^4) &amp; " TB"))))</f>
        <v>64 KB</v>
      </c>
      <c r="E12" s="5"/>
    </row>
    <row r="13" spans="1:5" x14ac:dyDescent="0.2">
      <c r="A13" s="3">
        <v>3</v>
      </c>
      <c r="B13" s="3" t="s">
        <v>29</v>
      </c>
      <c r="C13" s="5">
        <v>24</v>
      </c>
      <c r="D13" s="5" t="str">
        <f>IF(C13&lt;10, 2^C13 &amp; " B",
 IF(C13&lt;20, (2^C13)/1024 &amp; " KB",
 IF(C13&lt;30, (2^C13)/(1024^2) &amp; " MB",
 IF(C13&lt;40, (2^C13)/(1024^3) &amp; " GB",
 (2^C13)/(1024^4) &amp; " TB"))))</f>
        <v>16 MB</v>
      </c>
      <c r="E13" s="6"/>
    </row>
    <row r="14" spans="1:5" x14ac:dyDescent="0.2">
      <c r="A14" s="3">
        <v>4</v>
      </c>
      <c r="B14" s="3" t="s">
        <v>41</v>
      </c>
      <c r="C14" s="5">
        <v>24</v>
      </c>
      <c r="D14" s="5" t="str">
        <f>IF(C14&lt;10, 2^C14 &amp; " B",
 IF(C14&lt;20, (2^C14)/1024 &amp; " KB",
 IF(C14&lt;30, (2^C14)/(1024^2) &amp; " MB",
 IF(C14&lt;40, (2^C14)/(1024^3) &amp; " GB",
 (2^C14)/(1024^4) &amp; " TB"))))</f>
        <v>16 MB</v>
      </c>
      <c r="E14" s="5"/>
    </row>
    <row r="15" spans="1:5" x14ac:dyDescent="0.2">
      <c r="A15" s="3">
        <v>5</v>
      </c>
      <c r="B15" s="3" t="s">
        <v>42</v>
      </c>
      <c r="C15" s="5">
        <v>16</v>
      </c>
      <c r="D15" s="5" t="str">
        <f>IF(C15&lt;10, 2^C15 &amp; " B",
 IF(C15&lt;20, (2^C15)/1024 &amp; " KB",
 IF(C15&lt;30, (2^C15)/(1024^2) &amp; " MB",
 IF(C15&lt;40, (2^C15)/(1024^3) &amp; " GB",
 (2^C15)/(1024^4) &amp; " TB"))))</f>
        <v>64 KB</v>
      </c>
      <c r="E15" s="5"/>
    </row>
    <row r="16" spans="1:5" x14ac:dyDescent="0.2">
      <c r="A16" s="3">
        <v>6</v>
      </c>
      <c r="B16" s="3" t="s">
        <v>43</v>
      </c>
      <c r="C16" s="5">
        <v>24</v>
      </c>
      <c r="D16" s="5" t="str">
        <f>IF(C16&lt;10, 2^C16 &amp; " B",
 IF(C16&lt;20, (2^C16)/1024 &amp; " KB",
 IF(C16&lt;30, (2^C16)/(1024^2) &amp; " MB",
 IF(C16&lt;40, (2^C16)/(1024^3) &amp; " GB",
 (2^C16)/(1024^4) &amp; " TB"))))</f>
        <v>16 MB</v>
      </c>
      <c r="E16" s="6"/>
    </row>
    <row r="17" spans="1:5" x14ac:dyDescent="0.2">
      <c r="A17" s="13"/>
      <c r="C17" s="16"/>
    </row>
    <row r="18" spans="1:5" x14ac:dyDescent="0.2">
      <c r="A18" s="12" t="s">
        <v>40</v>
      </c>
      <c r="B18" s="12"/>
      <c r="C18" s="12"/>
      <c r="D18" s="12"/>
      <c r="E18" s="12"/>
    </row>
    <row r="19" spans="1:5" x14ac:dyDescent="0.2">
      <c r="A19" s="1" t="s">
        <v>13</v>
      </c>
      <c r="B19" s="1" t="s">
        <v>7</v>
      </c>
      <c r="C19" s="2" t="s">
        <v>8</v>
      </c>
      <c r="D19" s="2" t="s">
        <v>9</v>
      </c>
      <c r="E19" s="2" t="s">
        <v>10</v>
      </c>
    </row>
    <row r="20" spans="1:5" ht="32" x14ac:dyDescent="0.2">
      <c r="A20" s="9"/>
      <c r="B20" s="9"/>
      <c r="C20" s="11" t="s">
        <v>23</v>
      </c>
      <c r="D20" s="11" t="s">
        <v>24</v>
      </c>
      <c r="E20" s="10"/>
    </row>
    <row r="21" spans="1:5" x14ac:dyDescent="0.2">
      <c r="A21" s="3">
        <v>1</v>
      </c>
      <c r="B21" s="3" t="s">
        <v>11</v>
      </c>
      <c r="C21" s="5">
        <v>8</v>
      </c>
      <c r="D21" s="5" t="str">
        <f t="shared" ref="D21:D26" si="0">IF(C21&lt;10, 2^C21 &amp; " B",
 IF(C21&lt;20, (2^C21)/1024 &amp; " KB",
 IF(C21&lt;30, (2^C21)/(1024^2) &amp; " MB",
 IF(C21&lt;40, (2^C21)/(1024^3) &amp; " GB",
 (2^C21)/(1024^4) &amp; " TB"))))</f>
        <v>256 B</v>
      </c>
      <c r="E21" s="5"/>
    </row>
    <row r="22" spans="1:5" x14ac:dyDescent="0.2">
      <c r="A22" s="3">
        <v>2</v>
      </c>
      <c r="B22" s="3" t="s">
        <v>12</v>
      </c>
      <c r="C22" s="5">
        <v>4</v>
      </c>
      <c r="D22" s="5" t="str">
        <f t="shared" si="0"/>
        <v>16 B</v>
      </c>
      <c r="E22" s="5"/>
    </row>
    <row r="23" spans="1:5" x14ac:dyDescent="0.2">
      <c r="A23" s="3">
        <v>3</v>
      </c>
      <c r="B23" s="3" t="s">
        <v>14</v>
      </c>
      <c r="C23" s="5">
        <v>12</v>
      </c>
      <c r="D23" s="5" t="str">
        <f t="shared" si="0"/>
        <v>4 KB</v>
      </c>
      <c r="E23" s="5"/>
    </row>
    <row r="24" spans="1:5" x14ac:dyDescent="0.2">
      <c r="A24" s="3">
        <v>4</v>
      </c>
      <c r="B24" s="3" t="s">
        <v>17</v>
      </c>
      <c r="C24" s="5">
        <v>15</v>
      </c>
      <c r="D24" s="5" t="str">
        <f t="shared" si="0"/>
        <v>32 KB</v>
      </c>
      <c r="E24" s="5"/>
    </row>
    <row r="25" spans="1:5" x14ac:dyDescent="0.2">
      <c r="A25" s="3">
        <v>5</v>
      </c>
      <c r="B25" s="3" t="s">
        <v>25</v>
      </c>
      <c r="C25" s="5">
        <v>8</v>
      </c>
      <c r="D25" s="5" t="str">
        <f t="shared" si="0"/>
        <v>256 B</v>
      </c>
      <c r="E25" s="5"/>
    </row>
    <row r="26" spans="1:5" x14ac:dyDescent="0.2">
      <c r="A26" s="3">
        <v>6</v>
      </c>
      <c r="B26" s="3" t="s">
        <v>37</v>
      </c>
      <c r="C26" s="5">
        <v>20</v>
      </c>
      <c r="D26" s="5" t="str">
        <f t="shared" si="0"/>
        <v>1 MB</v>
      </c>
      <c r="E26" s="5"/>
    </row>
  </sheetData>
  <mergeCells count="3">
    <mergeCell ref="A1:C1"/>
    <mergeCell ref="A8:E8"/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D3BE-A81C-064D-B2FD-479DE8B770C5}">
  <sheetPr codeName="Sheet2"/>
  <dimension ref="A1:G8"/>
  <sheetViews>
    <sheetView zoomScale="176" workbookViewId="0">
      <selection activeCell="H4" sqref="H4"/>
    </sheetView>
  </sheetViews>
  <sheetFormatPr baseColWidth="10" defaultRowHeight="16" x14ac:dyDescent="0.2"/>
  <cols>
    <col min="1" max="1" width="14.5" customWidth="1"/>
    <col min="4" max="4" width="11.6640625" customWidth="1"/>
  </cols>
  <sheetData>
    <row r="1" spans="1:7" x14ac:dyDescent="0.2">
      <c r="A1" s="12" t="s">
        <v>33</v>
      </c>
      <c r="B1" s="12"/>
      <c r="C1" s="12"/>
      <c r="D1" s="12"/>
    </row>
    <row r="2" spans="1:7" x14ac:dyDescent="0.2">
      <c r="A2" s="15" t="s">
        <v>31</v>
      </c>
      <c r="B2" s="15" t="str" cm="1">
        <f t="array" aca="1" ref="B2:G2" ca="1">TRANSPOSE(INDIRECT("CFG!B11:B"&amp;MATCH(1,--(INDIRECT("CFG!B11:B100")=""),0)+9))</f>
        <v>CPU0</v>
      </c>
      <c r="C2" s="15" t="str">
        <f ca="1"/>
        <v>CPU1</v>
      </c>
      <c r="D2" s="15" t="str">
        <f ca="1"/>
        <v>GPU</v>
      </c>
      <c r="E2" s="17" t="str">
        <f ca="1"/>
        <v>NPU</v>
      </c>
      <c r="F2" s="17" t="str">
        <f ca="1"/>
        <v>TPU</v>
      </c>
      <c r="G2" s="17" t="str">
        <f ca="1"/>
        <v>PPU</v>
      </c>
    </row>
    <row r="3" spans="1:7" x14ac:dyDescent="0.2">
      <c r="A3" s="15" t="str" cm="1">
        <f t="array" ref="A3:A8">_xlfn.LET(
    _xlpm.FirstBlank, MATCH(TRUE, CFG!$B$11:$B$101="", 0) + 10,
    _xlpm.StartRow, _xlpm.FirstBlank + 4,
    _xlpm.SecondBlank, MATCH(TRUE, INDEX(CFG!B:B, _xlpm.StartRow):INDEX(CFG!B:B, 100)="", 0) + _xlpm.StartRow - 1,
    _xlpm.EndRow, _xlpm.SecondBlank - 1,
    INDEX(CFG!B:B, _xlpm.StartRow):INDEX(CFG!B:B, _xlpm.EndRow)
)</f>
        <v>UART</v>
      </c>
      <c r="B3" s="14" t="s">
        <v>32</v>
      </c>
      <c r="C3" s="14" t="s">
        <v>32</v>
      </c>
      <c r="D3" s="14"/>
    </row>
    <row r="4" spans="1:7" x14ac:dyDescent="0.2">
      <c r="A4" s="15" t="str">
        <v>I2C</v>
      </c>
      <c r="B4" s="14" t="s">
        <v>38</v>
      </c>
      <c r="C4" s="14" t="s">
        <v>18</v>
      </c>
      <c r="D4" s="14" t="s">
        <v>15</v>
      </c>
      <c r="E4" s="18" t="s">
        <v>32</v>
      </c>
      <c r="F4" s="18" t="s">
        <v>15</v>
      </c>
      <c r="G4" s="18" t="s">
        <v>18</v>
      </c>
    </row>
    <row r="5" spans="1:7" x14ac:dyDescent="0.2">
      <c r="A5" s="15" t="str">
        <v>SPI</v>
      </c>
      <c r="B5" s="14"/>
      <c r="C5" s="14"/>
      <c r="D5" s="14" t="s">
        <v>32</v>
      </c>
    </row>
    <row r="6" spans="1:7" x14ac:dyDescent="0.2">
      <c r="A6" s="15" t="str">
        <v>CAN</v>
      </c>
      <c r="B6" s="14"/>
      <c r="C6" s="14" t="s">
        <v>36</v>
      </c>
      <c r="D6" s="14"/>
    </row>
    <row r="7" spans="1:7" x14ac:dyDescent="0.2">
      <c r="A7" s="15" t="str">
        <v>PWM</v>
      </c>
      <c r="B7" s="14" t="s">
        <v>39</v>
      </c>
      <c r="C7" s="14"/>
      <c r="D7" s="14"/>
    </row>
    <row r="8" spans="1:7" x14ac:dyDescent="0.2">
      <c r="A8" s="15" t="str">
        <v>PCIe</v>
      </c>
      <c r="B8" s="14"/>
      <c r="C8" s="14"/>
      <c r="D8" s="14" t="s">
        <v>18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F706-F9F5-0F42-A737-79F456BDDF36}">
  <sheetPr codeName="Sheet3"/>
  <dimension ref="A1:G8"/>
  <sheetViews>
    <sheetView tabSelected="1" zoomScale="189" zoomScaleNormal="189" workbookViewId="0">
      <selection activeCell="D11" sqref="D11"/>
    </sheetView>
  </sheetViews>
  <sheetFormatPr baseColWidth="10" defaultRowHeight="16" x14ac:dyDescent="0.2"/>
  <cols>
    <col min="1" max="1" width="12.5" bestFit="1" customWidth="1"/>
    <col min="2" max="2" width="18.33203125" bestFit="1" customWidth="1"/>
    <col min="3" max="3" width="16.1640625" customWidth="1"/>
    <col min="4" max="4" width="22.5" bestFit="1" customWidth="1"/>
    <col min="5" max="5" width="18.6640625" bestFit="1" customWidth="1"/>
    <col min="6" max="6" width="14.33203125" bestFit="1" customWidth="1"/>
    <col min="7" max="7" width="18.6640625" bestFit="1" customWidth="1"/>
  </cols>
  <sheetData>
    <row r="1" spans="1:7" x14ac:dyDescent="0.2">
      <c r="A1" s="12" t="s">
        <v>34</v>
      </c>
      <c r="B1" s="12"/>
      <c r="C1" s="12"/>
      <c r="D1" s="12"/>
    </row>
    <row r="2" spans="1:7" x14ac:dyDescent="0.2">
      <c r="A2" s="15" t="s">
        <v>31</v>
      </c>
      <c r="B2" s="15" t="str" cm="1">
        <f t="array" aca="1" ref="B2:G2" ca="1">TRANSPOSE(INDIRECT("CFG!B11:B"&amp;MATCH(1,--(INDIRECT("CFG!B11:B100")=""),0)+9))</f>
        <v>CPU0</v>
      </c>
      <c r="C2" s="15" t="str">
        <f ca="1"/>
        <v>CPU1</v>
      </c>
      <c r="D2" s="15" t="str">
        <f ca="1"/>
        <v>GPU</v>
      </c>
      <c r="E2" t="str">
        <f ca="1"/>
        <v>NPU</v>
      </c>
      <c r="F2" t="str">
        <f ca="1"/>
        <v>TPU</v>
      </c>
      <c r="G2" t="str">
        <f ca="1"/>
        <v>PPU</v>
      </c>
    </row>
    <row r="3" spans="1:7" x14ac:dyDescent="0.2">
      <c r="A3" s="15" t="str" cm="1">
        <f t="array" ref="A3:A8">_xlfn.LET(
    _xlpm.FirstBlank, MATCH(TRUE, CFG!$B$11:$B$101="", 0) + 10,
    _xlpm.StartRow, _xlpm.FirstBlank + 4,
    _xlpm.SecondBlank, MATCH(TRUE, INDEX(CFG!B:B, _xlpm.StartRow):INDEX(CFG!B:B, 100)="", 0) + _xlpm.StartRow - 1,
    _xlpm.EndRow, _xlpm.SecondBlank - 1,
    INDEX(CFG!B:B, _xlpm.StartRow):INDEX(CFG!B:B, _xlpm.EndRow)
)</f>
        <v>UART</v>
      </c>
      <c r="B3" s="14" t="str" cm="1">
        <f t="array" aca="1" ref="B3:G8" ca="1">_xlfn.MAKEARRAY(COUNTA(_xlfn.ANCHORARRAY(A3)), COUNTA(_xlfn.ANCHORARRAY(B2)), _xlfn.LAMBDA(_xlpm.r,_xlpm.c,
    _xlfn.LET(
        _xlpm.val, INDEX('MM-CFG'!B:Y,_xlpm.r+2, _xlpm.c),
        _xlpm.col_ref, INDEX(CFG!C:C, _xlpm.c + 10),
        _xlpm.row_ref, INDEX(CFG!C:C, _xlpm.r + COUNTA(_xlfn.ANCHORARRAY(B2)) + 14),
        _xlpm.padding, _xlpm.col_ref / 4,
        _xlpm.clean_hex, SUBSTITUTE(_xlpm.val, "0x", ""),
        _xlpm.dec_val, HEX2DEC(_xlpm.clean_hex),
        IF(OR(_xlpm.val="", _xlpm.val="X"), "X",
            "0x" &amp; DEC2HEX(_xlpm.dec_val, _xlpm.padding) &amp; " - " &amp;
            "0x" &amp; DEC2HEX(_xlpm.dec_val + 2^_xlpm.row_ref - 1, _xlpm.padding)
        )
    )
))</f>
        <v>0x000000 - 0x0000FF</v>
      </c>
      <c r="C3" s="14" t="str">
        <f ca="1"/>
        <v>0x0000 - 0x00FF</v>
      </c>
      <c r="D3" s="14" t="str">
        <f ca="1"/>
        <v>X</v>
      </c>
      <c r="E3" t="str">
        <f ca="1"/>
        <v>X</v>
      </c>
      <c r="F3" t="str">
        <f ca="1"/>
        <v>X</v>
      </c>
      <c r="G3" t="str">
        <f ca="1"/>
        <v>X</v>
      </c>
    </row>
    <row r="4" spans="1:7" x14ac:dyDescent="0.2">
      <c r="A4" s="15" t="str">
        <v>I2C</v>
      </c>
      <c r="B4" s="14" t="str">
        <f ca="1"/>
        <v>0x010000 - 0x01000F</v>
      </c>
      <c r="C4" s="14" t="str">
        <f ca="1"/>
        <v>0x2000 - 0x200F</v>
      </c>
      <c r="D4" s="14" t="str">
        <f ca="1"/>
        <v>0x001000 - 0x00100F</v>
      </c>
      <c r="E4" t="str">
        <f ca="1"/>
        <v>0x000000 - 0x00000F</v>
      </c>
      <c r="F4" t="str">
        <f ca="1"/>
        <v>0x1000 - 0x100F</v>
      </c>
      <c r="G4" t="str">
        <f ca="1"/>
        <v>0x002000 - 0x00200F</v>
      </c>
    </row>
    <row r="5" spans="1:7" x14ac:dyDescent="0.2">
      <c r="A5" s="15" t="str">
        <v>SPI</v>
      </c>
      <c r="B5" s="14" t="str">
        <f ca="1"/>
        <v>X</v>
      </c>
      <c r="C5" s="14" t="str">
        <f ca="1"/>
        <v>X</v>
      </c>
      <c r="D5" s="14" t="str">
        <f ca="1"/>
        <v>0x000000 - 0x000FFF</v>
      </c>
      <c r="E5" t="str">
        <f ca="1"/>
        <v>X</v>
      </c>
      <c r="F5" t="str">
        <f ca="1"/>
        <v>X</v>
      </c>
      <c r="G5" t="str">
        <f ca="1"/>
        <v>X</v>
      </c>
    </row>
    <row r="6" spans="1:7" x14ac:dyDescent="0.2">
      <c r="A6" s="15" t="str">
        <v>CAN</v>
      </c>
      <c r="B6" s="14" t="str">
        <f ca="1"/>
        <v>X</v>
      </c>
      <c r="C6" s="14" t="str">
        <f ca="1"/>
        <v>0x4000 - 0xBFFF</v>
      </c>
      <c r="D6" s="14" t="str">
        <f ca="1"/>
        <v>X</v>
      </c>
      <c r="E6" t="str">
        <f ca="1"/>
        <v>X</v>
      </c>
      <c r="F6" t="str">
        <f ca="1"/>
        <v>X</v>
      </c>
      <c r="G6" t="str">
        <f ca="1"/>
        <v>X</v>
      </c>
    </row>
    <row r="7" spans="1:7" x14ac:dyDescent="0.2">
      <c r="A7" s="15" t="str">
        <v>PWM</v>
      </c>
      <c r="B7" s="14" t="str">
        <f ca="1"/>
        <v>0x005000 - 0x0050FF</v>
      </c>
      <c r="C7" s="14" t="str">
        <f ca="1"/>
        <v>X</v>
      </c>
      <c r="D7" s="14" t="str">
        <f ca="1"/>
        <v>X</v>
      </c>
      <c r="E7" t="str">
        <f ca="1"/>
        <v>X</v>
      </c>
      <c r="F7" t="str">
        <f ca="1"/>
        <v>X</v>
      </c>
      <c r="G7" t="str">
        <f ca="1"/>
        <v>X</v>
      </c>
    </row>
    <row r="8" spans="1:7" x14ac:dyDescent="0.2">
      <c r="A8" s="15" t="str">
        <v>PCIe</v>
      </c>
      <c r="B8" s="14" t="str">
        <f ca="1"/>
        <v>X</v>
      </c>
      <c r="C8" s="14" t="str">
        <f ca="1"/>
        <v>X</v>
      </c>
      <c r="D8" s="14" t="str">
        <f ca="1"/>
        <v>0x002000 - 0x101FFF</v>
      </c>
      <c r="E8" t="str">
        <f ca="1"/>
        <v>X</v>
      </c>
      <c r="F8" t="str">
        <f ca="1"/>
        <v>X</v>
      </c>
      <c r="G8" t="str">
        <f ca="1"/>
        <v>X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CFG</vt:lpstr>
      <vt:lpstr>MM-CFG</vt:lpstr>
      <vt:lpstr>MM-INFO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</dc:creator>
  <cp:lastModifiedBy>Link</cp:lastModifiedBy>
  <dcterms:created xsi:type="dcterms:W3CDTF">2026-03-15T13:57:07Z</dcterms:created>
  <dcterms:modified xsi:type="dcterms:W3CDTF">2026-03-20T15:12:08Z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2026-03-15T13:57:16Z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afb01957-4160-40bc-80c0-0e514e1d883b</vt:lpwstr>
  </property>
  <property fmtid="{D5CDD505-2E9C-101B-9397-08002B2CF9AE}" pid="7" name="MSIP_Label_defa4170-0d19-0005-0004-bc88714345d2_ActionId">
    <vt:lpwstr>6f1b9ca1-0a16-4cc3-bb3c-39ca36891e79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