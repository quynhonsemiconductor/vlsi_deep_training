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2_GitHub\APB-DEC-Generator\"/>
    </mc:Choice>
  </mc:AlternateContent>
  <xr:revisionPtr revIDLastSave="0" documentId="13_ncr:1_{2A3EA8DA-A48A-4F1C-8A57-3EBF6F47DBD1}" xr6:coauthVersionLast="47" xr6:coauthVersionMax="47" xr10:uidLastSave="{00000000-0000-0000-0000-000000000000}"/>
  <bookViews>
    <workbookView xWindow="-110" yWindow="-110" windowWidth="19420" windowHeight="11500" xr2:uid="{FE1CB42A-3921-F749-B0F0-26DE12D23731}"/>
  </bookViews>
  <sheets>
    <sheet name="APB_D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E21" i="1"/>
  <c r="F20" i="1"/>
  <c r="E20" i="1"/>
  <c r="B8" i="1"/>
  <c r="F19" i="1"/>
  <c r="E19" i="1"/>
  <c r="F17" i="1"/>
  <c r="F18" i="1"/>
  <c r="F16" i="1"/>
  <c r="E18" i="1"/>
  <c r="E17" i="1"/>
  <c r="E16" i="1"/>
</calcChain>
</file>

<file path=xl/sharedStrings.xml><?xml version="1.0" encoding="utf-8"?>
<sst xmlns="http://schemas.openxmlformats.org/spreadsheetml/2006/main" count="45" uniqueCount="42">
  <si>
    <t>Table - Configuration</t>
  </si>
  <si>
    <t>Config</t>
  </si>
  <si>
    <t>Value</t>
  </si>
  <si>
    <t>Description</t>
  </si>
  <si>
    <t>Module Name</t>
  </si>
  <si>
    <t>m_vlsit_apbdec</t>
  </si>
  <si>
    <t>Table - Master Configuration</t>
  </si>
  <si>
    <t>Address Width</t>
  </si>
  <si>
    <t>Data Width</t>
  </si>
  <si>
    <t>Write Strobe</t>
  </si>
  <si>
    <t>NAME</t>
  </si>
  <si>
    <t>ADDRESS WIDTH</t>
  </si>
  <si>
    <t>OFFSET</t>
  </si>
  <si>
    <t>SIZE</t>
  </si>
  <si>
    <t>END ADDRESS</t>
  </si>
  <si>
    <t>DESCRIPTION</t>
  </si>
  <si>
    <t>UART</t>
  </si>
  <si>
    <t>0x0000</t>
  </si>
  <si>
    <t>I2C</t>
  </si>
  <si>
    <t>0x0100</t>
  </si>
  <si>
    <t>NO.</t>
  </si>
  <si>
    <t>SPI</t>
  </si>
  <si>
    <t>0x1000</t>
  </si>
  <si>
    <t>Table - Slaves Information</t>
  </si>
  <si>
    <t>PSLVERR on Unmapped Access</t>
  </si>
  <si>
    <t>CAN</t>
  </si>
  <si>
    <t>0x2000</t>
  </si>
  <si>
    <t>Max Address</t>
  </si>
  <si>
    <t>Name of the generated Verilog RTL module.</t>
  </si>
  <si>
    <t>Bit-width of the Master APB address bus</t>
  </si>
  <si>
    <t>Maximum addressable range of the Master bus.
(auto-calculated)</t>
  </si>
  <si>
    <t>Bit-width of the APB data bus.
Fixed at 32-bit.</t>
  </si>
  <si>
    <t>Number of byte-enable lanes (PSTRB).
Fixed at 4 for 32-bit data.</t>
  </si>
  <si>
    <t>Logic level returned on PSLVERR when accessing an unmapped address range
(0: OKAY, 1: ERROR).</t>
  </si>
  <si>
    <t>Address width required by the slave peripheral</t>
  </si>
  <si>
    <t>Base start address of the slave</t>
  </si>
  <si>
    <t>Total mapped space for the slave
(auto-calculated)</t>
  </si>
  <si>
    <t>Final mapped address of the slave
(auto-calculated)</t>
  </si>
  <si>
    <t>PWM</t>
  </si>
  <si>
    <t>0xA000</t>
  </si>
  <si>
    <t>GYRO</t>
  </si>
  <si>
    <t>0xB000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</si>
</sst>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5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A42E-EA0A-7F49-93E4-4CC102131393}">
  <dimension ref="A1:G21"/>
  <sheetViews>
    <sheetView tabSelected="1" zoomScale="85" zoomScaleNormal="85" workbookViewId="0">
      <selection activeCell="G16" sqref="G16"/>
    </sheetView>
  </sheetViews>
  <sheetFormatPr defaultColWidth="10.6640625" defaultRowHeight="13" x14ac:dyDescent="0.3"/>
  <cols>
    <col min="1" max="1" width="16" style="3" customWidth="1"/>
    <col min="2" max="2" width="13.6640625" style="3" bestFit="1" customWidth="1"/>
    <col min="3" max="3" width="39.1640625" style="3" customWidth="1"/>
    <col min="4" max="4" width="23.33203125" style="3" bestFit="1" customWidth="1"/>
    <col min="5" max="5" width="25.83203125" style="3" customWidth="1"/>
    <col min="6" max="6" width="29.5" style="3" customWidth="1"/>
    <col min="7" max="7" width="18.1640625" style="3" customWidth="1"/>
    <col min="8" max="16384" width="10.6640625" style="3"/>
  </cols>
  <sheetData>
    <row r="1" spans="1:7" x14ac:dyDescent="0.3">
      <c r="A1" s="1" t="s">
        <v>0</v>
      </c>
      <c r="B1" s="1"/>
      <c r="C1" s="1"/>
      <c r="D1" s="2"/>
      <c r="E1" s="2"/>
      <c r="F1" s="2"/>
    </row>
    <row r="2" spans="1:7" x14ac:dyDescent="0.3">
      <c r="A2" s="4" t="s">
        <v>1</v>
      </c>
      <c r="B2" s="5" t="s">
        <v>2</v>
      </c>
      <c r="C2" s="5" t="s">
        <v>3</v>
      </c>
      <c r="D2" s="2"/>
      <c r="E2" s="2"/>
      <c r="F2" s="2"/>
    </row>
    <row r="3" spans="1:7" x14ac:dyDescent="0.3">
      <c r="A3" s="6" t="s">
        <v>4</v>
      </c>
      <c r="B3" s="7" t="s">
        <v>5</v>
      </c>
      <c r="C3" s="8" t="s">
        <v>28</v>
      </c>
      <c r="D3" s="2"/>
      <c r="E3" s="2"/>
      <c r="F3" s="2"/>
    </row>
    <row r="4" spans="1:7" x14ac:dyDescent="0.3">
      <c r="A4" s="6"/>
      <c r="B4" s="7"/>
      <c r="C4" s="8"/>
      <c r="D4" s="2"/>
      <c r="E4" s="2"/>
      <c r="F4" s="2"/>
    </row>
    <row r="5" spans="1:7" x14ac:dyDescent="0.3">
      <c r="A5" s="9" t="s">
        <v>6</v>
      </c>
      <c r="B5" s="9"/>
      <c r="C5" s="9"/>
      <c r="D5" s="2"/>
      <c r="E5" s="2"/>
      <c r="F5" s="2"/>
    </row>
    <row r="6" spans="1:7" x14ac:dyDescent="0.3">
      <c r="A6" s="4" t="s">
        <v>1</v>
      </c>
      <c r="B6" s="5" t="s">
        <v>2</v>
      </c>
      <c r="C6" s="5" t="s">
        <v>3</v>
      </c>
      <c r="D6" s="2"/>
      <c r="E6" s="2"/>
      <c r="F6" s="2"/>
    </row>
    <row r="7" spans="1:7" x14ac:dyDescent="0.3">
      <c r="A7" s="6" t="s">
        <v>7</v>
      </c>
      <c r="B7" s="7">
        <v>24</v>
      </c>
      <c r="C7" s="10" t="s">
        <v>29</v>
      </c>
      <c r="D7" s="2"/>
      <c r="E7" s="2"/>
      <c r="F7" s="2"/>
    </row>
    <row r="8" spans="1:7" ht="26" x14ac:dyDescent="0.3">
      <c r="A8" s="6" t="s">
        <v>27</v>
      </c>
      <c r="B8" s="7" t="str">
        <f>"0x" &amp; DEC2HEX(2^$B$7-1)</f>
        <v>0xFFFFFF</v>
      </c>
      <c r="C8" s="10" t="s">
        <v>30</v>
      </c>
      <c r="D8" s="2"/>
      <c r="E8" s="2"/>
      <c r="F8" s="2"/>
    </row>
    <row r="9" spans="1:7" ht="26" x14ac:dyDescent="0.3">
      <c r="A9" s="6" t="s">
        <v>8</v>
      </c>
      <c r="B9" s="7">
        <v>32</v>
      </c>
      <c r="C9" s="10" t="s">
        <v>31</v>
      </c>
      <c r="D9" s="2"/>
      <c r="E9" s="2"/>
      <c r="F9" s="2"/>
    </row>
    <row r="10" spans="1:7" ht="26" x14ac:dyDescent="0.3">
      <c r="A10" s="6" t="s">
        <v>9</v>
      </c>
      <c r="B10" s="7">
        <v>4</v>
      </c>
      <c r="C10" s="10" t="s">
        <v>32</v>
      </c>
      <c r="D10" s="2"/>
      <c r="E10" s="2"/>
      <c r="F10" s="2"/>
    </row>
    <row r="11" spans="1:7" ht="39" x14ac:dyDescent="0.3">
      <c r="A11" s="11" t="s">
        <v>24</v>
      </c>
      <c r="B11" s="12">
        <v>1</v>
      </c>
      <c r="C11" s="11" t="s">
        <v>33</v>
      </c>
      <c r="D11" s="2"/>
      <c r="E11" s="2"/>
      <c r="F11" s="2"/>
    </row>
    <row r="12" spans="1:7" x14ac:dyDescent="0.3">
      <c r="A12" s="2"/>
      <c r="B12" s="2"/>
      <c r="C12" s="2"/>
      <c r="D12" s="2"/>
      <c r="E12" s="2"/>
      <c r="F12" s="2"/>
    </row>
    <row r="13" spans="1:7" x14ac:dyDescent="0.3">
      <c r="A13" s="1" t="s">
        <v>23</v>
      </c>
      <c r="B13" s="1"/>
      <c r="C13" s="1"/>
      <c r="D13" s="1"/>
      <c r="E13" s="1"/>
      <c r="F13" s="1"/>
      <c r="G13" s="1"/>
    </row>
    <row r="14" spans="1:7" x14ac:dyDescent="0.3">
      <c r="A14" s="4" t="s">
        <v>20</v>
      </c>
      <c r="B14" s="4" t="s">
        <v>10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15</v>
      </c>
    </row>
    <row r="15" spans="1:7" ht="26" x14ac:dyDescent="0.3">
      <c r="A15" s="13"/>
      <c r="B15" s="13"/>
      <c r="C15" s="14" t="s">
        <v>34</v>
      </c>
      <c r="D15" s="14" t="s">
        <v>35</v>
      </c>
      <c r="E15" s="15" t="s">
        <v>36</v>
      </c>
      <c r="F15" s="15" t="s">
        <v>37</v>
      </c>
      <c r="G15" s="14"/>
    </row>
    <row r="16" spans="1:7" x14ac:dyDescent="0.3">
      <c r="A16" s="6">
        <v>1</v>
      </c>
      <c r="B16" s="6" t="s">
        <v>16</v>
      </c>
      <c r="C16" s="8">
        <v>8</v>
      </c>
      <c r="D16" s="8" t="s">
        <v>17</v>
      </c>
      <c r="E16" s="8" t="str">
        <f>IF(C16&lt;10, 2^C16 &amp; " B",
 IF(C16&lt;20, (2^C16)/1024 &amp; " KB",
 IF(C16&lt;30, (2^C16)/(1024^2) &amp; " MB",
 IF(C16&lt;40, (2^C16)/(1024^3) &amp; " GB",
 (2^C16)/(1024^4) &amp; " TB"))))</f>
        <v>256 B</v>
      </c>
      <c r="F16" s="8" t="str">
        <f>"0x" &amp; DEC2HEX(HEX2DEC(SUBSTITUTE(D16, "0x", "")) + 2^C16 - 1, $B$7/4)</f>
        <v>0x0000FF</v>
      </c>
      <c r="G16" s="8"/>
    </row>
    <row r="17" spans="1:7" x14ac:dyDescent="0.3">
      <c r="A17" s="6">
        <v>2</v>
      </c>
      <c r="B17" s="6" t="s">
        <v>18</v>
      </c>
      <c r="C17" s="8">
        <v>4</v>
      </c>
      <c r="D17" s="8" t="s">
        <v>19</v>
      </c>
      <c r="E17" s="8" t="str">
        <f t="shared" ref="E17:E18" si="0">IF(C17&lt;10, 2^C17 &amp; " B",
 IF(C17&lt;20, (2^C17)/1024 &amp; " KB",
 IF(C17&lt;30, (2^C17)/(1024^2) &amp; " MB",
 IF(C17&lt;40, (2^C17)/(1024^3) &amp; " GB",
 (2^C17)/(1024^4) &amp; " TB"))))</f>
        <v>16 B</v>
      </c>
      <c r="F17" s="8" t="str">
        <f t="shared" ref="F17:F18" si="1">"0x" &amp; DEC2HEX(HEX2DEC(SUBSTITUTE(D17, "0x", "")) + 2^C17 - 1, $B$7/4)</f>
        <v>0x00010F</v>
      </c>
      <c r="G17" s="8"/>
    </row>
    <row r="18" spans="1:7" x14ac:dyDescent="0.3">
      <c r="A18" s="6">
        <v>3</v>
      </c>
      <c r="B18" s="6" t="s">
        <v>21</v>
      </c>
      <c r="C18" s="8">
        <v>12</v>
      </c>
      <c r="D18" s="8" t="s">
        <v>22</v>
      </c>
      <c r="E18" s="8" t="str">
        <f t="shared" si="0"/>
        <v>4 KB</v>
      </c>
      <c r="F18" s="8" t="str">
        <f t="shared" si="1"/>
        <v>0x001FFF</v>
      </c>
      <c r="G18" s="10"/>
    </row>
    <row r="19" spans="1:7" x14ac:dyDescent="0.3">
      <c r="A19" s="6">
        <v>4</v>
      </c>
      <c r="B19" s="6" t="s">
        <v>25</v>
      </c>
      <c r="C19" s="8">
        <v>15</v>
      </c>
      <c r="D19" s="8" t="s">
        <v>26</v>
      </c>
      <c r="E19" s="8" t="str">
        <f t="shared" ref="E19:E21" si="2">IF(C19&lt;10, 2^C19 &amp; " B",
 IF(C19&lt;20, (2^C19)/1024 &amp; " KB",
 IF(C19&lt;30, (2^C19)/(1024^2) &amp; " MB",
 IF(C19&lt;40, (2^C19)/(1024^3) &amp; " GB",
 (2^C19)/(1024^4) &amp; " TB"))))</f>
        <v>32 KB</v>
      </c>
      <c r="F19" s="8" t="str">
        <f t="shared" ref="F19:F21" si="3">"0x" &amp; DEC2HEX(HEX2DEC(SUBSTITUTE(D19, "0x", "")) + 2^C19 - 1, $B$7/4)</f>
        <v>0x009FFF</v>
      </c>
      <c r="G19" s="8"/>
    </row>
    <row r="20" spans="1:7" x14ac:dyDescent="0.3">
      <c r="A20" s="6">
        <v>5</v>
      </c>
      <c r="B20" s="6" t="s">
        <v>38</v>
      </c>
      <c r="C20" s="8">
        <v>8</v>
      </c>
      <c r="D20" s="8" t="s">
        <v>39</v>
      </c>
      <c r="E20" s="8" t="str">
        <f t="shared" si="2"/>
        <v>256 B</v>
      </c>
      <c r="F20" s="8" t="str">
        <f t="shared" si="3"/>
        <v>0x00A0FF</v>
      </c>
      <c r="G20" s="8"/>
    </row>
    <row r="21" spans="1:7" x14ac:dyDescent="0.3">
      <c r="A21" s="6">
        <v>6</v>
      </c>
      <c r="B21" s="6" t="s">
        <v>40</v>
      </c>
      <c r="C21" s="8">
        <v>10</v>
      </c>
      <c r="D21" s="8" t="s">
        <v>41</v>
      </c>
      <c r="E21" s="8" t="str">
        <f t="shared" si="2"/>
        <v>1 KB</v>
      </c>
      <c r="F21" s="8" t="str">
        <f t="shared" si="3"/>
        <v>0x00B3FF</v>
      </c>
      <c r="G21" s="10"/>
    </row>
  </sheetData>
  <mergeCells count="3">
    <mergeCell ref="A1:C1"/>
    <mergeCell ref="A5:C5"/>
    <mergeCell ref="A13:G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APB_DEC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</dc:creator>
  <cp:lastModifiedBy>Lenovo</cp:lastModifiedBy>
  <dcterms:created xsi:type="dcterms:W3CDTF">2026-03-15T13:57:07Z</dcterms:created>
  <dcterms:modified xsi:type="dcterms:W3CDTF">2026-03-15T21:31:06Z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2026-03-15T13:57:16Z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afb01957-4160-40bc-80c0-0e514e1d883b</vt:lpwstr>
  </property>
  <property fmtid="{D5CDD505-2E9C-101B-9397-08002B2CF9AE}" pid="7" name="MSIP_Label_defa4170-0d19-0005-0004-bc88714345d2_ActionId">
    <vt:lpwstr>6f1b9ca1-0a16-4cc3-bb3c-39ca36891e79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