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720" yWindow="2280" windowWidth="36700" windowHeight="23900" tabRatio="600" firstSheet="0" activeTab="2" autoFilterDateGrouping="1"/>
  </bookViews>
  <sheets>
    <sheet name="CFG" sheetId="1" state="visible" r:id="rId1"/>
    <sheet name="MM-CFG" sheetId="2" state="visible" r:id="rId2"/>
    <sheet name="MM-INF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2" fillId="0" borderId="7" applyAlignment="1" pivotButton="0" quotePrefix="0" xfId="0">
      <alignment vertical="center"/>
    </xf>
    <xf numFmtId="0" fontId="4" fillId="0" borderId="0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9"/>
  <sheetViews>
    <sheetView topLeftCell="A14" zoomScale="144" workbookViewId="0">
      <selection activeCell="A14" sqref="A14:E101"/>
    </sheetView>
  </sheetViews>
  <sheetFormatPr baseColWidth="10" defaultRowHeight="16"/>
  <cols>
    <col width="12.6640625" customWidth="1" min="1" max="1"/>
    <col width="13.6640625" bestFit="1" customWidth="1" min="2" max="2"/>
    <col width="34.5" customWidth="1" min="3" max="3"/>
    <col width="27.33203125" customWidth="1" min="4" max="4"/>
    <col width="20.33203125" customWidth="1" min="5" max="5"/>
    <col width="20.6640625" customWidth="1" min="9" max="9"/>
    <col width="27.6640625" customWidth="1" min="10" max="10"/>
    <col width="14.1640625" customWidth="1" min="11" max="11"/>
  </cols>
  <sheetData>
    <row r="1">
      <c r="A1" s="12" t="inlineStr">
        <is>
          <t>Table - Global Configuration</t>
        </is>
      </c>
      <c r="B1" s="19" t="n"/>
      <c r="C1" s="19" t="n"/>
    </row>
    <row r="2">
      <c r="A2" s="1" t="inlineStr">
        <is>
          <t>Config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Module Name</t>
        </is>
      </c>
      <c r="B3" s="4" t="inlineStr">
        <is>
          <t>m_qnsc_p_bus</t>
        </is>
      </c>
      <c r="C3" s="5" t="inlineStr">
        <is>
          <t>Name of the generated Verilog RTL module.
The generator always writes m_vlsi_apb_router; it is renamed to this after generation (as for the SCRC internal bus).</t>
        </is>
      </c>
    </row>
    <row r="4" ht="34" customHeight="1">
      <c r="A4" s="3" t="inlineStr">
        <is>
          <t>Data Width</t>
        </is>
      </c>
      <c r="B4" s="4" t="n">
        <v>32</v>
      </c>
      <c r="C4" s="5" t="inlineStr">
        <is>
          <t>Bit-width of the APB data bus.
Fixed at 32-bit.</t>
        </is>
      </c>
    </row>
    <row r="5" ht="34" customHeight="1">
      <c r="A5" s="3" t="inlineStr">
        <is>
          <t>Write Strobe</t>
        </is>
      </c>
      <c r="B5" s="4" t="n">
        <v>4</v>
      </c>
      <c r="C5" s="5" t="inlineStr">
        <is>
          <t>Number of byte-enable lanes (PSTRB).
Fixed at 4 for 32-bit data.</t>
        </is>
      </c>
    </row>
    <row r="6" ht="51" customHeight="1">
      <c r="A6" s="8" t="inlineStr">
        <is>
          <t>PSLVERR on Unmapped Access</t>
        </is>
      </c>
      <c r="B6" s="7" t="n">
        <v>1</v>
      </c>
      <c r="C6" s="8" t="inlineStr">
        <is>
          <t>Logic level returned on PSLVERR when accessing an unmapped address range
(0: OKAY, 1: ERROR).
Unmapped = slots 14/15, 0x38000-0x3FFFF (0x8003_8000-0x8003_FFFF).</t>
        </is>
      </c>
    </row>
    <row r="8">
      <c r="A8" s="12" t="inlineStr">
        <is>
          <t>Table - Master Information</t>
        </is>
      </c>
      <c r="B8" s="19" t="n"/>
      <c r="C8" s="19" t="n"/>
      <c r="D8" s="19" t="n"/>
      <c r="E8" s="19" t="n"/>
    </row>
    <row r="9">
      <c r="A9" s="1" t="inlineStr">
        <is>
          <t>NO.</t>
        </is>
      </c>
      <c r="B9" s="1" t="inlineStr">
        <is>
          <t>NAME</t>
        </is>
      </c>
      <c r="C9" s="2" t="inlineStr">
        <is>
          <t>ADDRESS WIDTH</t>
        </is>
      </c>
      <c r="D9" s="2" t="inlineStr">
        <is>
          <t>SIZE</t>
        </is>
      </c>
      <c r="E9" s="2" t="inlineStr">
        <is>
          <t>DESCRIPTION</t>
        </is>
      </c>
    </row>
    <row r="10" ht="32" customHeight="1">
      <c r="A10" s="9" t="n"/>
      <c r="B10" s="9" t="n"/>
      <c r="C10" s="11" t="inlineStr">
        <is>
          <t>Address width of the master</t>
        </is>
      </c>
      <c r="D10" s="11" t="inlineStr">
        <is>
          <t>Total mapped space for the slave
(auto-calculated)</t>
        </is>
      </c>
      <c r="E10" s="11" t="n"/>
    </row>
    <row r="11">
      <c r="A11" s="3" t="n">
        <v>1</v>
      </c>
      <c r="B11" s="3" t="inlineStr">
        <is>
          <t>AXI2APB</t>
        </is>
      </c>
      <c r="C11" s="5" t="n">
        <v>18</v>
      </c>
      <c r="D11" s="5">
        <f>IF(C11&lt;10, 2^C11 &amp; " B",
 IF(C11&lt;20, (2^C11)/1024 &amp; " KB",
 IF(C11&lt;30, (2^C11)/(1024^2) &amp; " MB",
 IF(C11&lt;40, (2^C11)/(1024^3) &amp; " GB",
 (2^C11)/(1024^4) &amp; " TB"))))</f>
        <v/>
      </c>
      <c r="E11" s="5" t="inlineStr">
        <is>
          <t>AXI2APB bridge (S_BUS AXI_M3). PADDR = AXI address [17:0], offset in the 256 KiB window 0x8000_0000-0x8003_FFFF (contract meta.pbus_paddr_width)</t>
        </is>
      </c>
    </row>
    <row r="13">
      <c r="A13" s="12" t="inlineStr">
        <is>
          <t>Table - Slave Information</t>
        </is>
      </c>
      <c r="B13" s="19" t="n"/>
      <c r="C13" s="19" t="n"/>
      <c r="D13" s="19" t="n"/>
      <c r="E13" s="19" t="n"/>
    </row>
    <row r="14">
      <c r="A14" s="1" t="inlineStr">
        <is>
          <t>NO.</t>
        </is>
      </c>
      <c r="B14" s="1" t="inlineStr">
        <is>
          <t>NAME</t>
        </is>
      </c>
      <c r="C14" s="2" t="inlineStr">
        <is>
          <t>ADDRESS WIDTH</t>
        </is>
      </c>
      <c r="D14" s="2" t="inlineStr">
        <is>
          <t>SIZE</t>
        </is>
      </c>
      <c r="E14" s="2" t="inlineStr">
        <is>
          <t>DESCRIPTION</t>
        </is>
      </c>
    </row>
    <row r="15">
      <c r="A15" s="9" t="n"/>
      <c r="B15" s="9" t="n"/>
      <c r="C15" s="11" t="inlineStr">
        <is>
          <t>Address width required by the slave peripheral</t>
        </is>
      </c>
      <c r="D15" s="11" t="inlineStr">
        <is>
          <t>Total mapped space for the slave
(auto-calculated)</t>
        </is>
      </c>
      <c r="E15" s="11" t="n"/>
    </row>
    <row r="16">
      <c r="A16" s="3" t="n">
        <v>1</v>
      </c>
      <c r="B16" s="3" t="inlineStr">
        <is>
          <t>SCRC</t>
        </is>
      </c>
      <c r="C16" s="5" t="n">
        <v>14</v>
      </c>
      <c r="D16" s="5">
        <f>IF(C16&lt;10, 2^C16 &amp; " B",
 IF(C16&lt;20, (2^C16)/1024 &amp; " KB",
 IF(C16&lt;30, (2^C16)/(1024^2) &amp; " MB",
 IF(C16&lt;40, (2^C16)/(1024^3) &amp; " GB",
 (2^C16)/(1024^4) &amp; " TB"))))</f>
        <v/>
      </c>
      <c r="E16" s="5" t="inlineStr">
        <is>
          <t>APB_M0, 0x8000_0000 (contract meta.apb_paddr_width)</t>
        </is>
      </c>
    </row>
    <row r="17">
      <c r="A17" s="3" t="n">
        <v>2</v>
      </c>
      <c r="B17" s="3" t="inlineStr">
        <is>
          <t>SYSCSR</t>
        </is>
      </c>
      <c r="C17" s="5" t="n">
        <v>14</v>
      </c>
      <c r="D17" s="5">
        <f>IF(C17&lt;10, 2^C17 &amp; " B",
 IF(C17&lt;20, (2^C17)/1024 &amp; " KB",
 IF(C17&lt;30, (2^C17)/(1024^2) &amp; " MB",
 IF(C17&lt;40, (2^C17)/(1024^3) &amp; " GB",
 (2^C17)/(1024^4) &amp; " TB"))))</f>
        <v/>
      </c>
      <c r="E17" s="5" t="inlineStr">
        <is>
          <t>APB_M1, 0x8000_4000 (contract meta.apb_paddr_width)</t>
        </is>
      </c>
    </row>
    <row r="18">
      <c r="A18" s="3" t="n">
        <v>3</v>
      </c>
      <c r="B18" s="3" t="inlineStr">
        <is>
          <t>WDT</t>
        </is>
      </c>
      <c r="C18" s="5" t="n">
        <v>14</v>
      </c>
      <c r="D18" s="5">
        <f>IF(C18&lt;10, 2^C18 &amp; " B",
 IF(C18&lt;20, (2^C18)/1024 &amp; " KB",
 IF(C18&lt;30, (2^C18)/(1024^2) &amp; " MB",
 IF(C18&lt;40, (2^C18)/(1024^3) &amp; " GB",
 (2^C18)/(1024^4) &amp; " TB"))))</f>
        <v/>
      </c>
      <c r="E18" s="5" t="inlineStr">
        <is>
          <t>APB_M2, 0x8000_8000 (contract meta.apb_paddr_width)</t>
        </is>
      </c>
    </row>
    <row r="19">
      <c r="A19" s="3" t="n">
        <v>4</v>
      </c>
      <c r="B19" s="3" t="inlineStr">
        <is>
          <t>GPIO_0</t>
        </is>
      </c>
      <c r="C19" s="5" t="n">
        <v>14</v>
      </c>
      <c r="D19" s="5">
        <f>IF(C19&lt;10, 2^C19 &amp; " B",
 IF(C19&lt;20, (2^C19)/1024 &amp; " KB",
 IF(C19&lt;30, (2^C19)/(1024^2) &amp; " MB",
 IF(C19&lt;40, (2^C19)/(1024^3) &amp; " GB",
 (2^C19)/(1024^4) &amp; " TB"))))</f>
        <v/>
      </c>
      <c r="E19" s="5" t="inlineStr">
        <is>
          <t>APB_M3, 0x8000_C000 (contract meta.apb_paddr_width)</t>
        </is>
      </c>
    </row>
    <row r="20" ht="32" customHeight="1">
      <c r="A20" s="3" t="n">
        <v>5</v>
      </c>
      <c r="B20" s="3" t="inlineStr">
        <is>
          <t>GPIO_1</t>
        </is>
      </c>
      <c r="C20" s="5" t="n">
        <v>14</v>
      </c>
      <c r="D20" s="5">
        <f>IF(C20&lt;10, 2^C20 &amp; " B",
 IF(C20&lt;20, (2^C20)/1024 &amp; " KB",
 IF(C20&lt;30, (2^C20)/(1024^2) &amp; " MB",
 IF(C20&lt;40, (2^C20)/(1024^3) &amp; " GB",
 (2^C20)/(1024^4) &amp; " TB"))))</f>
        <v/>
      </c>
      <c r="E20" s="5" t="inlineStr">
        <is>
          <t>APB_M4, 0x8001_0000 (contract meta.apb_paddr_width)</t>
        </is>
      </c>
    </row>
    <row r="21">
      <c r="A21" s="3" t="n">
        <v>6</v>
      </c>
      <c r="B21" s="3" t="inlineStr">
        <is>
          <t>GPIO_2</t>
        </is>
      </c>
      <c r="C21" s="5" t="n">
        <v>14</v>
      </c>
      <c r="D21" s="5">
        <f>IF(C21&lt;10, 2^C21 &amp; " B",
 IF(C21&lt;20, (2^C21)/1024 &amp; " KB",
 IF(C21&lt;30, (2^C21)/(1024^2) &amp; " MB",
 IF(C21&lt;40, (2^C21)/(1024^3) &amp; " GB",
 (2^C21)/(1024^4) &amp; " TB"))))</f>
        <v/>
      </c>
      <c r="E21" s="5" t="inlineStr">
        <is>
          <t>APB_M5, 0x8001_4000 (contract meta.apb_paddr_width)</t>
        </is>
      </c>
    </row>
    <row r="22">
      <c r="A22" s="3" t="n">
        <v>7</v>
      </c>
      <c r="B22" s="3" t="inlineStr">
        <is>
          <t>TIMER_0</t>
        </is>
      </c>
      <c r="C22" s="5" t="n">
        <v>14</v>
      </c>
      <c r="D22" s="5">
        <f>IF(C22&lt;10, 2^C22 &amp; " B",
 IF(C22&lt;20, (2^C22)/1024 &amp; " KB",
 IF(C22&lt;30, (2^C22)/(1024^2) &amp; " MB",
 IF(C22&lt;40, (2^C22)/(1024^3) &amp; " GB",
 (2^C22)/(1024^4) &amp; " TB"))))</f>
        <v/>
      </c>
      <c r="E22" s="5" t="inlineStr">
        <is>
          <t>APB_M6, 0x8001_8000 (contract meta.apb_paddr_width)</t>
        </is>
      </c>
    </row>
    <row r="23">
      <c r="A23" s="3" t="n">
        <v>8</v>
      </c>
      <c r="B23" s="3" t="inlineStr">
        <is>
          <t>TIMER_1</t>
        </is>
      </c>
      <c r="C23" s="5" t="n">
        <v>14</v>
      </c>
      <c r="D23" s="5">
        <f>IF(C23&lt;10, 2^C23 &amp; " B",
 IF(C23&lt;20, (2^C23)/1024 &amp; " KB",
 IF(C23&lt;30, (2^C23)/(1024^2) &amp; " MB",
 IF(C23&lt;40, (2^C23)/(1024^3) &amp; " GB",
 (2^C23)/(1024^4) &amp; " TB"))))</f>
        <v/>
      </c>
      <c r="E23" s="5" t="inlineStr">
        <is>
          <t>APB_M7, 0x8001_C000 (contract meta.apb_paddr_width)</t>
        </is>
      </c>
    </row>
    <row r="24">
      <c r="A24" s="3" t="n">
        <v>9</v>
      </c>
      <c r="B24" s="3" t="inlineStr">
        <is>
          <t>UART_0</t>
        </is>
      </c>
      <c r="C24" s="5" t="n">
        <v>14</v>
      </c>
      <c r="D24" s="5">
        <f>IF(C24&lt;10, 2^C24 &amp; " B",
 IF(C24&lt;20, (2^C24)/1024 &amp; " KB",
 IF(C24&lt;30, (2^C24)/(1024^2) &amp; " MB",
 IF(C24&lt;40, (2^C24)/(1024^3) &amp; " GB",
 (2^C24)/(1024^4) &amp; " TB"))))</f>
        <v/>
      </c>
      <c r="E24" s="5" t="inlineStr">
        <is>
          <t>APB_M8, 0x8002_0000 (contract meta.apb_paddr_width)</t>
        </is>
      </c>
    </row>
    <row r="25">
      <c r="A25" s="3" t="n">
        <v>10</v>
      </c>
      <c r="B25" s="3" t="inlineStr">
        <is>
          <t>UART_1</t>
        </is>
      </c>
      <c r="C25" s="5" t="n">
        <v>14</v>
      </c>
      <c r="D25" s="5">
        <f>IF(C25&lt;10, 2^C25 &amp; " B",
 IF(C25&lt;20, (2^C25)/1024 &amp; " KB",
 IF(C25&lt;30, (2^C25)/(1024^2) &amp; " MB",
 IF(C25&lt;40, (2^C25)/(1024^3) &amp; " GB",
 (2^C25)/(1024^4) &amp; " TB"))))</f>
        <v/>
      </c>
      <c r="E25" s="5" t="inlineStr">
        <is>
          <t>APB_M9, 0x8002_4000 (contract meta.apb_paddr_width)</t>
        </is>
      </c>
    </row>
    <row r="26">
      <c r="A26" s="3" t="n">
        <v>11</v>
      </c>
      <c r="B26" s="3" t="inlineStr">
        <is>
          <t>SPI</t>
        </is>
      </c>
      <c r="C26" s="5" t="n">
        <v>14</v>
      </c>
      <c r="D26" s="5">
        <f>IF(C26&lt;10, 2^C26 &amp; " B",
 IF(C26&lt;20, (2^C26)/1024 &amp; " KB",
 IF(C26&lt;30, (2^C26)/(1024^2) &amp; " MB",
 IF(C26&lt;40, (2^C26)/(1024^3) &amp; " GB",
 (2^C26)/(1024^4) &amp; " TB"))))</f>
        <v/>
      </c>
      <c r="E26" s="5" t="inlineStr">
        <is>
          <t>APB_M10, 0x8002_8000 (contract meta.apb_paddr_width)</t>
        </is>
      </c>
    </row>
    <row r="27">
      <c r="A27" s="3" t="n">
        <v>12</v>
      </c>
      <c r="B27" s="3" t="inlineStr">
        <is>
          <t>I2C</t>
        </is>
      </c>
      <c r="C27" s="5" t="n">
        <v>14</v>
      </c>
      <c r="D27" s="5">
        <f>IF(C27&lt;10, 2^C27 &amp; " B",
 IF(C27&lt;20, (2^C27)/1024 &amp; " KB",
 IF(C27&lt;30, (2^C27)/(1024^2) &amp; " MB",
 IF(C27&lt;40, (2^C27)/(1024^3) &amp; " GB",
 (2^C27)/(1024^4) &amp; " TB"))))</f>
        <v/>
      </c>
      <c r="E27" s="5" t="inlineStr">
        <is>
          <t>APB_M11, 0x8002_C000 (contract meta.apb_paddr_width)</t>
        </is>
      </c>
    </row>
    <row r="28">
      <c r="A28" s="3" t="n">
        <v>13</v>
      </c>
      <c r="B28" s="3" t="inlineStr">
        <is>
          <t>PWM</t>
        </is>
      </c>
      <c r="C28" s="5" t="n">
        <v>14</v>
      </c>
      <c r="D28" s="5">
        <f>IF(C28&lt;10, 2^C28 &amp; " B",
 IF(C28&lt;20, (2^C28)/1024 &amp; " KB",
 IF(C28&lt;30, (2^C28)/(1024^2) &amp; " MB",
 IF(C28&lt;40, (2^C28)/(1024^3) &amp; " GB",
 (2^C28)/(1024^4) &amp; " TB"))))</f>
        <v/>
      </c>
      <c r="E28" s="5" t="inlineStr">
        <is>
          <t>APB_M12, 0x8003_0000 (contract meta.apb_paddr_width)</t>
        </is>
      </c>
    </row>
    <row r="29">
      <c r="A29" s="3" t="n">
        <v>14</v>
      </c>
      <c r="B29" s="3" t="inlineStr">
        <is>
          <t>DMA_CFG</t>
        </is>
      </c>
      <c r="C29" s="5" t="n">
        <v>14</v>
      </c>
      <c r="D29" s="5">
        <f>IF(C29&lt;10, 2^C29 &amp; " B",
 IF(C29&lt;20, (2^C29)/1024 &amp; " KB",
 IF(C29&lt;30, (2^C29)/(1024^2) &amp; " MB",
 IF(C29&lt;40, (2^C29)/(1024^3) &amp; " GB",
 (2^C29)/(1024^4) &amp; " TB"))))</f>
        <v/>
      </c>
      <c r="E29" s="5" t="inlineStr">
        <is>
          <t>APB_M13, 0x8003_4000 (contract meta.apb_paddr_width)</t>
        </is>
      </c>
    </row>
  </sheetData>
  <mergeCells count="3">
    <mergeCell ref="A1:C1"/>
    <mergeCell ref="A13:E13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6"/>
  <sheetViews>
    <sheetView zoomScale="176" workbookViewId="0">
      <selection activeCell="H4" sqref="H4"/>
    </sheetView>
  </sheetViews>
  <sheetFormatPr baseColWidth="10" defaultRowHeight="16"/>
  <cols>
    <col width="14.5" customWidth="1" min="1" max="1"/>
    <col width="20" customWidth="1" min="2" max="2"/>
    <col width="11.6640625" customWidth="1" min="4" max="4"/>
  </cols>
  <sheetData>
    <row r="1">
      <c r="A1" s="12" t="inlineStr">
        <is>
          <t>Table - Memory Map Configuration</t>
        </is>
      </c>
      <c r="B1" s="19" t="n"/>
      <c r="C1" s="19" t="n"/>
      <c r="D1" s="19" t="n"/>
    </row>
    <row r="2">
      <c r="A2" s="15" t="inlineStr">
        <is>
          <t>Slave / Master</t>
        </is>
      </c>
      <c r="B2" s="15" t="inlineStr">
        <is>
          <t>AXI2APB</t>
        </is>
      </c>
    </row>
    <row r="3">
      <c r="A3" s="15" t="inlineStr">
        <is>
          <t>SCRC</t>
        </is>
      </c>
      <c r="B3" s="14" t="inlineStr">
        <is>
          <t>0x0</t>
        </is>
      </c>
    </row>
    <row r="4">
      <c r="A4" s="15" t="inlineStr">
        <is>
          <t>SYSCSR</t>
        </is>
      </c>
      <c r="B4" s="14" t="inlineStr">
        <is>
          <t>0x4000</t>
        </is>
      </c>
    </row>
    <row r="5">
      <c r="A5" s="15" t="inlineStr">
        <is>
          <t>WDT</t>
        </is>
      </c>
      <c r="B5" s="14" t="inlineStr">
        <is>
          <t>0x8000</t>
        </is>
      </c>
    </row>
    <row r="6">
      <c r="A6" s="15" t="inlineStr">
        <is>
          <t>GPIO_0</t>
        </is>
      </c>
      <c r="B6" s="14" t="inlineStr">
        <is>
          <t>0xC000</t>
        </is>
      </c>
    </row>
    <row r="7">
      <c r="A7" s="15" t="inlineStr">
        <is>
          <t>GPIO_1</t>
        </is>
      </c>
      <c r="B7" s="14" t="inlineStr">
        <is>
          <t>0x10000</t>
        </is>
      </c>
    </row>
    <row r="8">
      <c r="A8" s="15" t="inlineStr">
        <is>
          <t>GPIO_2</t>
        </is>
      </c>
      <c r="B8" s="14" t="inlineStr">
        <is>
          <t>0x14000</t>
        </is>
      </c>
    </row>
    <row r="9">
      <c r="A9" s="15" t="inlineStr">
        <is>
          <t>TIMER_0</t>
        </is>
      </c>
      <c r="B9" s="14" t="inlineStr">
        <is>
          <t>0x18000</t>
        </is>
      </c>
    </row>
    <row r="10">
      <c r="A10" s="15" t="inlineStr">
        <is>
          <t>TIMER_1</t>
        </is>
      </c>
      <c r="B10" s="14" t="inlineStr">
        <is>
          <t>0x1C000</t>
        </is>
      </c>
    </row>
    <row r="11">
      <c r="A11" s="15" t="inlineStr">
        <is>
          <t>UART_0</t>
        </is>
      </c>
      <c r="B11" s="14" t="inlineStr">
        <is>
          <t>0x20000</t>
        </is>
      </c>
    </row>
    <row r="12">
      <c r="A12" s="15" t="inlineStr">
        <is>
          <t>UART_1</t>
        </is>
      </c>
      <c r="B12" s="14" t="inlineStr">
        <is>
          <t>0x24000</t>
        </is>
      </c>
    </row>
    <row r="13">
      <c r="A13" s="15" t="inlineStr">
        <is>
          <t>SPI</t>
        </is>
      </c>
      <c r="B13" s="14" t="inlineStr">
        <is>
          <t>0x28000</t>
        </is>
      </c>
    </row>
    <row r="14">
      <c r="A14" s="15" t="inlineStr">
        <is>
          <t>I2C</t>
        </is>
      </c>
      <c r="B14" s="14" t="inlineStr">
        <is>
          <t>0x2C000</t>
        </is>
      </c>
    </row>
    <row r="15">
      <c r="A15" s="15" t="inlineStr">
        <is>
          <t>PWM</t>
        </is>
      </c>
      <c r="B15" s="14" t="inlineStr">
        <is>
          <t>0x30000</t>
        </is>
      </c>
    </row>
    <row r="16">
      <c r="A16" s="15" t="inlineStr">
        <is>
          <t>DMA_CFG</t>
        </is>
      </c>
      <c r="B16" s="14" t="inlineStr">
        <is>
          <t>0x34000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6"/>
  <sheetViews>
    <sheetView tabSelected="1" zoomScale="189" zoomScaleNormal="189" workbookViewId="0">
      <selection activeCell="D11" sqref="D11"/>
    </sheetView>
  </sheetViews>
  <sheetFormatPr baseColWidth="10" defaultRowHeight="16"/>
  <cols>
    <col width="12.5" bestFit="1" customWidth="1" min="1" max="1"/>
    <col width="20" bestFit="1" customWidth="1" min="2" max="2"/>
    <col width="16.1640625" customWidth="1" min="3" max="3"/>
    <col width="22.5" bestFit="1" customWidth="1" min="4" max="4"/>
    <col width="18.6640625" bestFit="1" customWidth="1" min="5" max="5"/>
    <col width="14.33203125" bestFit="1" customWidth="1" min="6" max="6"/>
    <col width="18.6640625" bestFit="1" customWidth="1" min="7" max="7"/>
  </cols>
  <sheetData>
    <row r="1">
      <c r="A1" s="12" t="inlineStr">
        <is>
          <t>Table - Memory Map Information</t>
        </is>
      </c>
      <c r="B1" s="19" t="n"/>
      <c r="C1" s="19" t="n"/>
      <c r="D1" s="19" t="n"/>
    </row>
    <row r="2">
      <c r="A2" s="15" t="inlineStr">
        <is>
          <t>Slave / Master</t>
        </is>
      </c>
      <c r="B2" s="15" t="inlineStr">
        <is>
          <t>AXI2APB</t>
        </is>
      </c>
    </row>
    <row r="3">
      <c r="A3" s="15" t="inlineStr">
        <is>
          <t>SCRC</t>
        </is>
      </c>
      <c r="B3" s="14" t="inlineStr">
        <is>
          <t>0x00000 - 0x03FFF</t>
        </is>
      </c>
    </row>
    <row r="4">
      <c r="A4" s="15" t="inlineStr">
        <is>
          <t>SYSCSR</t>
        </is>
      </c>
      <c r="B4" s="14" t="inlineStr">
        <is>
          <t>0x04000 - 0x07FFF</t>
        </is>
      </c>
    </row>
    <row r="5">
      <c r="A5" s="15" t="inlineStr">
        <is>
          <t>WDT</t>
        </is>
      </c>
      <c r="B5" s="14" t="inlineStr">
        <is>
          <t>0x08000 - 0x0BFFF</t>
        </is>
      </c>
    </row>
    <row r="6">
      <c r="A6" s="15" t="inlineStr">
        <is>
          <t>GPIO_0</t>
        </is>
      </c>
      <c r="B6" s="14" t="inlineStr">
        <is>
          <t>0x0C000 - 0x0FFFF</t>
        </is>
      </c>
    </row>
    <row r="7">
      <c r="A7" s="15" t="inlineStr">
        <is>
          <t>GPIO_1</t>
        </is>
      </c>
      <c r="B7" s="14" t="inlineStr">
        <is>
          <t>0x10000 - 0x13FFF</t>
        </is>
      </c>
    </row>
    <row r="8">
      <c r="A8" s="15" t="inlineStr">
        <is>
          <t>GPIO_2</t>
        </is>
      </c>
      <c r="B8" s="14" t="inlineStr">
        <is>
          <t>0x14000 - 0x17FFF</t>
        </is>
      </c>
    </row>
    <row r="9">
      <c r="A9" s="15" t="inlineStr">
        <is>
          <t>TIMER_0</t>
        </is>
      </c>
      <c r="B9" s="14" t="inlineStr">
        <is>
          <t>0x18000 - 0x1BFFF</t>
        </is>
      </c>
    </row>
    <row r="10">
      <c r="A10" s="15" t="inlineStr">
        <is>
          <t>TIMER_1</t>
        </is>
      </c>
      <c r="B10" s="14" t="inlineStr">
        <is>
          <t>0x1C000 - 0x1FFFF</t>
        </is>
      </c>
    </row>
    <row r="11">
      <c r="A11" s="15" t="inlineStr">
        <is>
          <t>UART_0</t>
        </is>
      </c>
      <c r="B11" s="14" t="inlineStr">
        <is>
          <t>0x20000 - 0x23FFF</t>
        </is>
      </c>
    </row>
    <row r="12">
      <c r="A12" s="15" t="inlineStr">
        <is>
          <t>UART_1</t>
        </is>
      </c>
      <c r="B12" s="14" t="inlineStr">
        <is>
          <t>0x24000 - 0x27FFF</t>
        </is>
      </c>
    </row>
    <row r="13">
      <c r="A13" s="15" t="inlineStr">
        <is>
          <t>SPI</t>
        </is>
      </c>
      <c r="B13" s="14" t="inlineStr">
        <is>
          <t>0x28000 - 0x2BFFF</t>
        </is>
      </c>
    </row>
    <row r="14">
      <c r="A14" s="15" t="inlineStr">
        <is>
          <t>I2C</t>
        </is>
      </c>
      <c r="B14" s="14" t="inlineStr">
        <is>
          <t>0x2C000 - 0x2FFFF</t>
        </is>
      </c>
    </row>
    <row r="15">
      <c r="A15" s="15" t="inlineStr">
        <is>
          <t>PWM</t>
        </is>
      </c>
      <c r="B15" s="14" t="inlineStr">
        <is>
          <t>0x30000 - 0x33FFF</t>
        </is>
      </c>
    </row>
    <row r="16">
      <c r="A16" s="15" t="inlineStr">
        <is>
          <t>DMA_CFG</t>
        </is>
      </c>
      <c r="B16" s="14" t="inlineStr">
        <is>
          <t>0x34000 - 0x37FFF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Link</dc:creator>
  <dcterms:created xsi:type="dcterms:W3CDTF">2026-03-15T13:57:07Z</dcterms:created>
  <dcterms:modified xsi:type="dcterms:W3CDTF">2026-10-29T04:03:12Z</dcterms:modified>
  <cp:lastModifiedBy>Link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2026-03-15T13:57:16Z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afb01957-4160-40bc-80c0-0e514e1d883b</vt:lpwstr>
  </property>
  <property name="MSIP_Label_defa4170-0d19-0005-0004-bc88714345d2_ActionId" fmtid="{D5CDD505-2E9C-101B-9397-08002B2CF9AE}" pid="7">
    <vt:lpwstr>6f1b9ca1-0a16-4cc3-bb3c-39ca36891e79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